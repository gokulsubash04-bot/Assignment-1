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tri\"/>
    </mc:Choice>
  </mc:AlternateContent>
  <xr:revisionPtr revIDLastSave="0" documentId="8_{D5B874E9-4699-422E-B715-77C46F0A2898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N13" i="2"/>
  <c r="N12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" i="2"/>
  <c r="G4" i="2"/>
  <c r="G5" i="2"/>
  <c r="G6" i="2"/>
  <c r="G7" i="2"/>
  <c r="G8" i="2"/>
  <c r="G9" i="2"/>
  <c r="G2" i="2"/>
  <c r="N9" i="2"/>
  <c r="N8" i="2"/>
  <c r="N5" i="2"/>
  <c r="N4" i="2"/>
  <c r="N3" i="2"/>
</calcChain>
</file>

<file path=xl/sharedStrings.xml><?xml version="1.0" encoding="utf-8"?>
<sst xmlns="http://schemas.openxmlformats.org/spreadsheetml/2006/main" count="175" uniqueCount="126">
  <si>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</si>
  <si>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</si>
  <si>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</si>
  <si>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</si>
  <si>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</si>
  <si>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</si>
  <si>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</si>
  <si>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</si>
  <si>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</si>
  <si>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</si>
  <si>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</si>
  <si>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</si>
  <si>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</si>
  <si>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</si>
  <si>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</si>
  <si>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</si>
  <si>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</si>
  <si>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</si>
  <si>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</si>
  <si>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</si>
  <si>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</si>
  <si>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</si>
  <si>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</si>
  <si>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</si>
  <si>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</si>
  <si>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</si>
  <si>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</si>
  <si>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</si>
  <si>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</si>
  <si>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</si>
  <si>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</si>
  <si>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</si>
  <si>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</si>
  <si>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</si>
  <si>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</si>
  <si>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</si>
  <si>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</si>
  <si>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</si>
  <si>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</si>
  <si>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</si>
  <si>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</si>
  <si>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</si>
  <si>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</si>
  <si>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</si>
  <si>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</si>
  <si>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</si>
  <si>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</si>
  <si>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</si>
  <si>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</si>
  <si>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</si>
  <si>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</si>
  <si>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</si>
  <si>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</si>
  <si>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</si>
  <si>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</si>
  <si>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</si>
  <si>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</si>
  <si>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</si>
  <si>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</si>
  <si>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</si>
  <si>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</si>
  <si>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</si>
  <si>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</si>
  <si>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</si>
  <si>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</si>
  <si>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</si>
  <si>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</si>
  <si>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</si>
  <si>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</si>
  <si>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</si>
  <si>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</si>
  <si>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</si>
  <si>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</si>
  <si>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</si>
  <si>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</si>
  <si>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</si>
  <si>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</si>
  <si>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</si>
  <si>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</si>
  <si>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</si>
  <si>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</si>
  <si>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</si>
  <si>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</si>
  <si>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</si>
  <si>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</si>
  <si>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</si>
  <si>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</si>
  <si>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</si>
  <si>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</si>
  <si>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</si>
  <si>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</si>
  <si>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</si>
  <si>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</si>
  <si>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</si>
  <si>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</si>
  <si>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</si>
  <si>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</si>
  <si>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</si>
  <si>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</si>
  <si>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</si>
  <si>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</si>
  <si>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</si>
  <si>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</si>
  <si>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</si>
  <si>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</si>
  <si>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</si>
  <si>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</si>
  <si>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</si>
  <si>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</si>
  <si>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</si>
  <si>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</si>
  <si>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Section-1</t>
  </si>
  <si>
    <t>Total product</t>
  </si>
  <si>
    <t>Average Price</t>
  </si>
  <si>
    <t>Section-2</t>
  </si>
  <si>
    <t>Minimum Price</t>
  </si>
  <si>
    <t>Maximum Price</t>
  </si>
  <si>
    <t>Price Range</t>
  </si>
  <si>
    <t>Section-4</t>
  </si>
  <si>
    <t>Total price for electronics</t>
  </si>
  <si>
    <t>Number of product below 100</t>
  </si>
  <si>
    <t>Day</t>
  </si>
  <si>
    <t>Country Code</t>
  </si>
  <si>
    <t>Month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</si>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</sst>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0" xfId="0" applyFont="1" applyFill="1"/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22E00-795B-42A6-A51B-8749B74B1783}" name="Table1" displayName="Table1" ref="A1:J35" totalsRowShown="0" headerRowDxfId="12" dataDxfId="11">
  <autoFilter ref="A1:J35" xr:uid="{84222E00-795B-42A6-A51B-8749B74B1783}"/>
  <tableColumns count="10">
    <tableColumn id="1" xr3:uid="{1E759712-2434-470E-BA49-78D687332EFD}" name="Product ID" dataDxfId="10"/>
    <tableColumn id="2" xr3:uid="{0A2F09FB-A4F4-458B-817A-D4381DFFB610}" name="Product Name" dataDxfId="9"/>
    <tableColumn id="3" xr3:uid="{DC396EBF-D93A-4857-A5DE-DF9DEC879DD0}" name="Brand Name" dataDxfId="8"/>
    <tableColumn id="4" xr3:uid="{61CD3ED1-C451-4FC3-849A-78316B1A10FD}" name="Price ($)" dataDxfId="7"/>
    <tableColumn id="5" xr3:uid="{D16D9FC5-6B3F-4D17-8BAC-D8F6E9455E33}" name="Quantity" dataDxfId="6"/>
    <tableColumn id="6" xr3:uid="{5A9AD500-BE07-4C15-A5D7-77E3CE0DE714}" name="Category" dataDxfId="5"/>
    <tableColumn id="7" xr3:uid="{9AA95064-4551-45D8-AED4-099F08C4208D}" name="Price Range" dataDxfId="4">
      <calculatedColumnFormula>IF(D2&gt;=500,"High Price","Standard Price")</calculatedColumnFormula>
    </tableColumn>
    <tableColumn id="8" xr3:uid="{7E8678A8-040F-49C5-8255-88A152D6481B}" name="Day" dataDxfId="3">
      <calculatedColumnFormula>LEFT(A2,2)</calculatedColumnFormula>
    </tableColumn>
    <tableColumn id="9" xr3:uid="{1EF6D724-F647-41D6-AFD2-C3D509F349EF}" name="Country Code" dataDxfId="2">
      <calculatedColumnFormula>RIGHT(A2,2)</calculatedColumnFormula>
    </tableColumn>
    <tableColumn id="10" xr3:uid="{061E3469-CB76-41D7-8D71-3AD2AEAB5532}" name="Month" dataDxfId="1">
      <calculatedColumnFormula>MID(A2,4,3)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559B8E-BDFA-4E5F-A493-41DAD9DF7990}" name="Table3" displayName="Table3" ref="L2:N13" totalsRowShown="0">
  <autoFilter ref="L2:N13" xr:uid="{E3559B8E-BDFA-4E5F-A493-41DAD9DF7990}">
    <filterColumn colId="0" hiddenButton="1"/>
    <filterColumn colId="1" hiddenButton="1"/>
    <filterColumn colId="2" hiddenButton="1"/>
  </autoFilter>
  <tableColumns count="3">
    <tableColumn id="1" xr3:uid="{7945D8D0-8808-4CD9-A56C-E62C8395BF3F}" name="Section-1"/>
    <tableColumn id="2" xr3:uid="{B2D4FBF3-7239-47FA-BBC9-EF6BBA24CDFA}" name="Column1" dataDxfId="0"/>
    <tableColumn id="3" xr3:uid="{77D4DD41-A349-471E-9BEE-F45F1C0EC477}" name="Column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topLeftCell="L1" workbookViewId="0">
      <selection activeCell="N27" sqref="N27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  <col min="7" max="7" width="16" bestFit="1" customWidth="1"/>
    <col min="8" max="8" width="8.77734375" bestFit="1" customWidth="1"/>
    <col min="9" max="9" width="17.77734375" bestFit="1" customWidth="1"/>
    <col min="10" max="10" width="10.88671875" bestFit="1" customWidth="1"/>
    <col min="11" max="11" width="12" bestFit="1" customWidth="1"/>
    <col min="13" max="13" width="25.109375" bestFit="1" customWidth="1"/>
  </cols>
  <sheetData>
    <row r="1" spans="1:14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117</v>
      </c>
      <c r="H1" s="14" t="s">
        <v>121</v>
      </c>
      <c r="I1" s="14" t="s">
        <v>122</v>
      </c>
      <c r="J1" s="14" t="s">
        <v>123</v>
      </c>
    </row>
    <row r="2" spans="1:14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12" t="str">
        <f>IF(D2&gt;=500,"High Price","Standard Price")</f>
        <v>High Price</v>
      </c>
      <c r="H2" s="13" t="str">
        <f t="shared" ref="H2:H35" si="0">LEFT(A2,2)</f>
        <v>28</v>
      </c>
      <c r="I2" s="13" t="str">
        <f t="shared" ref="I2:I35" si="1">RIGHT(A2,2)</f>
        <v>US</v>
      </c>
      <c r="J2" s="13" t="str">
        <f t="shared" ref="J2:J35" si="2">MID(A2,4,3)</f>
        <v>JAN</v>
      </c>
      <c r="L2" s="8" t="s">
        <v>111</v>
      </c>
      <c r="M2" s="8" t="s">
        <v>124</v>
      </c>
      <c r="N2" t="s">
        <v>125</v>
      </c>
    </row>
    <row r="3" spans="1:14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12" t="str">
        <f t="shared" ref="G3:G35" si="3">IF(D3&gt;=500,"High Price","Standard Price")</f>
        <v>Standard Price</v>
      </c>
      <c r="H3" s="13" t="str">
        <f t="shared" si="0"/>
        <v>15</v>
      </c>
      <c r="I3" s="13" t="str">
        <f t="shared" si="1"/>
        <v>US</v>
      </c>
      <c r="J3" s="13" t="str">
        <f t="shared" si="2"/>
        <v>FEB</v>
      </c>
      <c r="M3" s="9" t="s">
        <v>110</v>
      </c>
      <c r="N3" s="10">
        <f>SUM(D:D)</f>
        <v>10100</v>
      </c>
    </row>
    <row r="4" spans="1:14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12" t="str">
        <f t="shared" si="3"/>
        <v>Standard Price</v>
      </c>
      <c r="H4" s="13" t="str">
        <f t="shared" si="0"/>
        <v>03</v>
      </c>
      <c r="I4" s="13" t="str">
        <f t="shared" si="1"/>
        <v>US</v>
      </c>
      <c r="J4" s="13" t="str">
        <f t="shared" si="2"/>
        <v>MAR</v>
      </c>
      <c r="M4" s="9" t="s">
        <v>112</v>
      </c>
      <c r="N4" s="9">
        <f>COUNT(D:D)</f>
        <v>34</v>
      </c>
    </row>
    <row r="5" spans="1:14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12" t="str">
        <f t="shared" si="3"/>
        <v>High Price</v>
      </c>
      <c r="H5" s="13" t="str">
        <f t="shared" si="0"/>
        <v>11</v>
      </c>
      <c r="I5" s="13" t="str">
        <f t="shared" si="1"/>
        <v>US</v>
      </c>
      <c r="J5" s="13" t="str">
        <f t="shared" si="2"/>
        <v>APR</v>
      </c>
      <c r="M5" s="9" t="s">
        <v>113</v>
      </c>
      <c r="N5">
        <f>AVERAGE(D:D)</f>
        <v>297.05882352941177</v>
      </c>
    </row>
    <row r="6" spans="1:14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12" t="str">
        <f t="shared" si="3"/>
        <v>Standard Price</v>
      </c>
      <c r="H6" s="13" t="str">
        <f t="shared" si="0"/>
        <v>22</v>
      </c>
      <c r="I6" s="13" t="str">
        <f t="shared" si="1"/>
        <v>US</v>
      </c>
      <c r="J6" s="13" t="str">
        <f t="shared" si="2"/>
        <v>MAY</v>
      </c>
    </row>
    <row r="7" spans="1:14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12" t="str">
        <f t="shared" si="3"/>
        <v>Standard Price</v>
      </c>
      <c r="H7" s="13" t="str">
        <f t="shared" si="0"/>
        <v>07</v>
      </c>
      <c r="I7" s="13" t="str">
        <f t="shared" si="1"/>
        <v>UK</v>
      </c>
      <c r="J7" s="13" t="str">
        <f t="shared" si="2"/>
        <v>JUN</v>
      </c>
      <c r="L7" s="8" t="s">
        <v>114</v>
      </c>
    </row>
    <row r="8" spans="1:14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12" t="str">
        <f t="shared" si="3"/>
        <v>Standard Price</v>
      </c>
      <c r="H8" s="13" t="str">
        <f t="shared" si="0"/>
        <v>19</v>
      </c>
      <c r="I8" s="13" t="str">
        <f t="shared" si="1"/>
        <v>UK</v>
      </c>
      <c r="J8" s="13" t="str">
        <f t="shared" si="2"/>
        <v>JUL</v>
      </c>
      <c r="M8" s="9" t="s">
        <v>115</v>
      </c>
      <c r="N8" s="10">
        <f>MIN(D:D)</f>
        <v>30</v>
      </c>
    </row>
    <row r="9" spans="1:14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12" t="str">
        <f t="shared" si="3"/>
        <v>Standard Price</v>
      </c>
      <c r="H9" s="13" t="str">
        <f t="shared" si="0"/>
        <v>23</v>
      </c>
      <c r="I9" s="13" t="str">
        <f t="shared" si="1"/>
        <v>UK</v>
      </c>
      <c r="J9" s="13" t="str">
        <f t="shared" si="2"/>
        <v>AUG</v>
      </c>
      <c r="M9" s="9" t="s">
        <v>116</v>
      </c>
      <c r="N9">
        <f>MAX(D:D)</f>
        <v>1000</v>
      </c>
    </row>
    <row r="10" spans="1:14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12" t="str">
        <f t="shared" si="3"/>
        <v>High Price</v>
      </c>
      <c r="H10" s="13" t="str">
        <f t="shared" si="0"/>
        <v>05</v>
      </c>
      <c r="I10" s="13" t="str">
        <f t="shared" si="1"/>
        <v>UK</v>
      </c>
      <c r="J10" s="13" t="str">
        <f t="shared" si="2"/>
        <v>SEP</v>
      </c>
    </row>
    <row r="11" spans="1:14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12" t="str">
        <f t="shared" si="3"/>
        <v>Standard Price</v>
      </c>
      <c r="H11" s="13" t="str">
        <f t="shared" si="0"/>
        <v>14</v>
      </c>
      <c r="I11" s="13" t="str">
        <f t="shared" si="1"/>
        <v>UK</v>
      </c>
      <c r="J11" s="13" t="str">
        <f t="shared" si="2"/>
        <v>OCT</v>
      </c>
      <c r="L11" s="8" t="s">
        <v>118</v>
      </c>
    </row>
    <row r="12" spans="1:14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12" t="str">
        <f t="shared" si="3"/>
        <v>High Price</v>
      </c>
      <c r="H12" s="13" t="str">
        <f t="shared" si="0"/>
        <v>17</v>
      </c>
      <c r="I12" s="13" t="str">
        <f t="shared" si="1"/>
        <v>IN</v>
      </c>
      <c r="J12" s="13" t="str">
        <f t="shared" si="2"/>
        <v>JUN</v>
      </c>
      <c r="M12" s="9" t="s">
        <v>119</v>
      </c>
      <c r="N12" s="10">
        <f>SUMIF(F2:F35,"Electronics",D2:D35)</f>
        <v>8050</v>
      </c>
    </row>
    <row r="13" spans="1:14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12" t="str">
        <f t="shared" si="3"/>
        <v>Standard Price</v>
      </c>
      <c r="H13" s="13" t="str">
        <f t="shared" si="0"/>
        <v>25</v>
      </c>
      <c r="I13" s="13" t="str">
        <f t="shared" si="1"/>
        <v>AU</v>
      </c>
      <c r="J13" s="13" t="str">
        <f t="shared" si="2"/>
        <v>NOV</v>
      </c>
      <c r="M13" s="9" t="s">
        <v>120</v>
      </c>
      <c r="N13">
        <f>COUNTIF(D2:D35,"&lt;100")</f>
        <v>11</v>
      </c>
    </row>
    <row r="14" spans="1:14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12" t="str">
        <f t="shared" si="3"/>
        <v>Standard Price</v>
      </c>
      <c r="H14" s="13" t="str">
        <f t="shared" si="0"/>
        <v>08</v>
      </c>
      <c r="I14" s="13" t="str">
        <f t="shared" si="1"/>
        <v>DE</v>
      </c>
      <c r="J14" s="13" t="str">
        <f t="shared" si="2"/>
        <v>DEC</v>
      </c>
    </row>
    <row r="15" spans="1:14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12" t="str">
        <f t="shared" si="3"/>
        <v>Standard Price</v>
      </c>
      <c r="H15" s="13" t="str">
        <f t="shared" si="0"/>
        <v>18</v>
      </c>
      <c r="I15" s="13" t="str">
        <f t="shared" si="1"/>
        <v>CA</v>
      </c>
      <c r="J15" s="13" t="str">
        <f t="shared" si="2"/>
        <v>FEB</v>
      </c>
    </row>
    <row r="16" spans="1:14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12" t="str">
        <f t="shared" si="3"/>
        <v>Standard Price</v>
      </c>
      <c r="H16" s="13" t="str">
        <f t="shared" si="0"/>
        <v>16</v>
      </c>
      <c r="I16" s="13" t="str">
        <f t="shared" si="1"/>
        <v>ES</v>
      </c>
      <c r="J16" s="13" t="str">
        <f t="shared" si="2"/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12" t="str">
        <f t="shared" si="3"/>
        <v>Standard Price</v>
      </c>
      <c r="H17" s="13" t="str">
        <f t="shared" si="0"/>
        <v>21</v>
      </c>
      <c r="I17" s="13" t="str">
        <f t="shared" si="1"/>
        <v>CA</v>
      </c>
      <c r="J17" s="13" t="str">
        <f t="shared" si="2"/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12" t="str">
        <f t="shared" si="3"/>
        <v>Standard Price</v>
      </c>
      <c r="H18" s="13" t="str">
        <f t="shared" si="0"/>
        <v>20</v>
      </c>
      <c r="I18" s="13" t="str">
        <f t="shared" si="1"/>
        <v>CN</v>
      </c>
      <c r="J18" s="13" t="str">
        <f t="shared" si="2"/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12" t="str">
        <f t="shared" si="3"/>
        <v>High Price</v>
      </c>
      <c r="H19" s="13" t="str">
        <f t="shared" si="0"/>
        <v>27</v>
      </c>
      <c r="I19" s="13" t="str">
        <f t="shared" si="1"/>
        <v>IT</v>
      </c>
      <c r="J19" s="13" t="str">
        <f t="shared" si="2"/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12" t="str">
        <f t="shared" si="3"/>
        <v>Standard Price</v>
      </c>
      <c r="H20" s="13" t="str">
        <f t="shared" si="0"/>
        <v>01</v>
      </c>
      <c r="I20" s="13" t="str">
        <f t="shared" si="1"/>
        <v>UK</v>
      </c>
      <c r="J20" s="13" t="str">
        <f t="shared" si="2"/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12" t="str">
        <f t="shared" si="3"/>
        <v>Standard Price</v>
      </c>
      <c r="H21" s="13" t="str">
        <f t="shared" si="0"/>
        <v>14</v>
      </c>
      <c r="I21" s="13" t="str">
        <f t="shared" si="1"/>
        <v>US</v>
      </c>
      <c r="J21" s="13" t="str">
        <f t="shared" si="2"/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12" t="str">
        <f t="shared" si="3"/>
        <v>High Price</v>
      </c>
      <c r="H22" s="13" t="str">
        <f t="shared" si="0"/>
        <v>14</v>
      </c>
      <c r="I22" s="13" t="str">
        <f t="shared" si="1"/>
        <v>RU</v>
      </c>
      <c r="J22" s="13" t="str">
        <f t="shared" si="2"/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12" t="str">
        <f t="shared" si="3"/>
        <v>Standard Price</v>
      </c>
      <c r="H23" s="13" t="str">
        <f t="shared" si="0"/>
        <v>09</v>
      </c>
      <c r="I23" s="13" t="str">
        <f t="shared" si="1"/>
        <v>CA</v>
      </c>
      <c r="J23" s="13" t="str">
        <f t="shared" si="2"/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12" t="str">
        <f t="shared" si="3"/>
        <v>Standard Price</v>
      </c>
      <c r="H24" s="13" t="str">
        <f t="shared" si="0"/>
        <v>19</v>
      </c>
      <c r="I24" s="13" t="str">
        <f t="shared" si="1"/>
        <v>BR</v>
      </c>
      <c r="J24" s="13" t="str">
        <f t="shared" si="2"/>
        <v>JUL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12" t="str">
        <f t="shared" si="3"/>
        <v>Standard Price</v>
      </c>
      <c r="H25" s="13" t="str">
        <f t="shared" si="0"/>
        <v>21</v>
      </c>
      <c r="I25" s="13" t="str">
        <f t="shared" si="1"/>
        <v>CA</v>
      </c>
      <c r="J25" s="13" t="str">
        <f t="shared" si="2"/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12" t="str">
        <f t="shared" si="3"/>
        <v>High Price</v>
      </c>
      <c r="H26" s="13" t="str">
        <f t="shared" si="0"/>
        <v>29</v>
      </c>
      <c r="I26" s="13" t="str">
        <f t="shared" si="1"/>
        <v>CA</v>
      </c>
      <c r="J26" s="13" t="str">
        <f t="shared" si="2"/>
        <v>SEP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12" t="str">
        <f t="shared" si="3"/>
        <v>Standard Price</v>
      </c>
      <c r="H27" s="13" t="str">
        <f t="shared" si="0"/>
        <v>03</v>
      </c>
      <c r="I27" s="13" t="str">
        <f t="shared" si="1"/>
        <v>CA</v>
      </c>
      <c r="J27" s="13" t="str">
        <f t="shared" si="2"/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12" t="str">
        <f t="shared" si="3"/>
        <v>Standard Price</v>
      </c>
      <c r="H28" s="13" t="str">
        <f t="shared" si="0"/>
        <v>11</v>
      </c>
      <c r="I28" s="13" t="str">
        <f t="shared" si="1"/>
        <v>CA</v>
      </c>
      <c r="J28" s="13" t="str">
        <f t="shared" si="2"/>
        <v>JUL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12" t="str">
        <f t="shared" si="3"/>
        <v>Standard Price</v>
      </c>
      <c r="H29" s="13" t="str">
        <f t="shared" si="0"/>
        <v>16</v>
      </c>
      <c r="I29" s="13" t="str">
        <f t="shared" si="1"/>
        <v>ES</v>
      </c>
      <c r="J29" s="13" t="str">
        <f t="shared" si="2"/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12" t="str">
        <f t="shared" si="3"/>
        <v>Standard Price</v>
      </c>
      <c r="H30" s="13" t="str">
        <f t="shared" si="0"/>
        <v>07</v>
      </c>
      <c r="I30" s="13" t="str">
        <f t="shared" si="1"/>
        <v>CA</v>
      </c>
      <c r="J30" s="13" t="str">
        <f t="shared" si="2"/>
        <v>MAR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12" t="str">
        <f t="shared" si="3"/>
        <v>Standard Price</v>
      </c>
      <c r="H31" s="13" t="str">
        <f t="shared" si="0"/>
        <v>13</v>
      </c>
      <c r="I31" s="13" t="str">
        <f t="shared" si="1"/>
        <v>CA</v>
      </c>
      <c r="J31" s="13" t="str">
        <f t="shared" si="2"/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12" t="str">
        <f t="shared" si="3"/>
        <v>Standard Price</v>
      </c>
      <c r="H32" s="13" t="str">
        <f t="shared" si="0"/>
        <v>24</v>
      </c>
      <c r="I32" s="13" t="str">
        <f t="shared" si="1"/>
        <v>CA</v>
      </c>
      <c r="J32" s="13" t="str">
        <f t="shared" si="2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12" t="str">
        <f t="shared" si="3"/>
        <v>Standard Price</v>
      </c>
      <c r="H33" s="13" t="str">
        <f t="shared" si="0"/>
        <v>02</v>
      </c>
      <c r="I33" s="13" t="str">
        <f t="shared" si="1"/>
        <v>CA</v>
      </c>
      <c r="J33" s="13" t="str">
        <f t="shared" si="2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12" t="str">
        <f t="shared" si="3"/>
        <v>High Price</v>
      </c>
      <c r="H34" s="13" t="str">
        <f t="shared" si="0"/>
        <v>17</v>
      </c>
      <c r="I34" s="13" t="str">
        <f t="shared" si="1"/>
        <v>IN</v>
      </c>
      <c r="J34" s="13" t="str">
        <f t="shared" si="2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12" t="str">
        <f t="shared" si="3"/>
        <v>Standard Price</v>
      </c>
      <c r="H35" s="13" t="str">
        <f t="shared" si="0"/>
        <v>09</v>
      </c>
      <c r="I35" s="13" t="str">
        <f t="shared" si="1"/>
        <v>FR</v>
      </c>
      <c r="J35" s="13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</dc:creator>
  <cp:lastModifiedBy>Gokul Subash</cp:lastModifiedBy>
  <dcterms:created xsi:type="dcterms:W3CDTF">2026-09-13T15:44:34Z</dcterms:created>
  <dcterms:modified xsi:type="dcterms:W3CDTF">2026-09-15T01:05:33Z</dcterms:modified>
</cp:coreProperties>
</file>